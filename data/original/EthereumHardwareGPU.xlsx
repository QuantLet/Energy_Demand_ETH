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<sst xmlns="http://schemas.openxmlformats.org/spreadsheetml/2006/main" count="223" uniqueCount="105">
  <si>
    <t>Miner_name</t>
  </si>
  <si>
    <t>Type</t>
  </si>
  <si>
    <t>Brand</t>
  </si>
  <si>
    <t>Date of release</t>
  </si>
  <si>
    <t>UNIX_date_of_release</t>
  </si>
  <si>
    <t>Hashing power (Mh/s)</t>
  </si>
  <si>
    <t>Memory size in Gigabyte (GB)</t>
  </si>
  <si>
    <t>Power (W)</t>
  </si>
  <si>
    <t>Efficiency_Mh/J</t>
  </si>
  <si>
    <t>J/MH</t>
  </si>
  <si>
    <t>J/H</t>
  </si>
  <si>
    <t>AMD RX 6650 XT</t>
  </si>
  <si>
    <t>gpu</t>
  </si>
  <si>
    <t>AMD</t>
  </si>
  <si>
    <t>AMD RX 6750 XT</t>
  </si>
  <si>
    <t>AMD RX 6950 XT</t>
  </si>
  <si>
    <t>AMD RX 6500 XT 4GB</t>
  </si>
  <si>
    <t>GPU</t>
  </si>
  <si>
    <t>Nvidia RTX 3050</t>
  </si>
  <si>
    <t>Nvidia</t>
  </si>
  <si>
    <t>Nvidia RTX 3090Ti</t>
  </si>
  <si>
    <t>AMD RX 6600</t>
  </si>
  <si>
    <t>Nvidia CMP 170HX</t>
  </si>
  <si>
    <t>Nvidia RTX A2000</t>
  </si>
  <si>
    <t>AMD RX 6600 XT</t>
  </si>
  <si>
    <t>Nvidia CMP 90HX</t>
  </si>
  <si>
    <t>Nvidia CMP 50HX</t>
  </si>
  <si>
    <t>Nvidia RTX 3070Ti</t>
  </si>
  <si>
    <t>Nvidia RTX 3080Ti</t>
  </si>
  <si>
    <t>Nvidia RTX 3050Ti Laptop</t>
  </si>
  <si>
    <t>Nvidia RTX A4000</t>
  </si>
  <si>
    <t>Nvidia RTX A5000</t>
  </si>
  <si>
    <t>Nvidia RTX A30</t>
  </si>
  <si>
    <t>AMD RX 6700 XT</t>
  </si>
  <si>
    <t>Nvidia CMP 30HX</t>
  </si>
  <si>
    <t>Nvidia CMP 40HX</t>
  </si>
  <si>
    <t>Nvidia RTX 3060</t>
  </si>
  <si>
    <t>Nvidia RTX 3060Ti</t>
  </si>
  <si>
    <t>AMD RX 6900 XT</t>
  </si>
  <si>
    <t>Nvidia RTX A6000</t>
  </si>
  <si>
    <t>AMD RX 6800</t>
  </si>
  <si>
    <t>AMD RX 6800 XT</t>
  </si>
  <si>
    <t>Nvidia A40</t>
  </si>
  <si>
    <t>Nvidia RTX 3070</t>
  </si>
  <si>
    <t>Nvidia RTX 3080</t>
  </si>
  <si>
    <t>Nvidia RTX 3090</t>
  </si>
  <si>
    <t>NVIDIA Tesla A100</t>
  </si>
  <si>
    <t>AMD RX 5600</t>
  </si>
  <si>
    <t>AMD RX 5600 XT</t>
  </si>
  <si>
    <t>AMD RX 5500 XT</t>
  </si>
  <si>
    <t>Nvidia GTX 1650 Super</t>
  </si>
  <si>
    <t>Nvidia GTX 1660 Super</t>
  </si>
  <si>
    <t>AMD RX 5500</t>
  </si>
  <si>
    <t>Nvidia RTX 2080 Super</t>
  </si>
  <si>
    <t>Nvidia RTX 2060 Super</t>
  </si>
  <si>
    <t>Nvidia RTX 2070 Super</t>
  </si>
  <si>
    <t>AMD RX 5700 XT</t>
  </si>
  <si>
    <t>AMD RX 5700</t>
  </si>
  <si>
    <t>Nvidia Quadro P2200</t>
  </si>
  <si>
    <t>AMD Radeon VII</t>
  </si>
  <si>
    <t>Nvidia GTX 1650</t>
  </si>
  <si>
    <t>Nvidia GTX 1660</t>
  </si>
  <si>
    <t>Nvidia GTX 1660Ti</t>
  </si>
  <si>
    <t>Nvidia RTX 2060</t>
  </si>
  <si>
    <t>Nvidia TITAN RTX</t>
  </si>
  <si>
    <t>Nvidia Quadro RTX 4000 8GB</t>
  </si>
  <si>
    <t>AMD RX 590</t>
  </si>
  <si>
    <t>Nvidia RTX 2070</t>
  </si>
  <si>
    <t>Nvidia RTX 2080Ti</t>
  </si>
  <si>
    <t>Nvidia RTX 2080</t>
  </si>
  <si>
    <t>Nvidia Tesla T4</t>
  </si>
  <si>
    <t>Nvidia Quadro RTX 8000</t>
  </si>
  <si>
    <t>Nvidia GTX 1050</t>
  </si>
  <si>
    <t>Nvidia P102-100</t>
  </si>
  <si>
    <t>Nvidia P104-100</t>
  </si>
  <si>
    <t>Nvidia Titan V</t>
  </si>
  <si>
    <t>Nvidia GTX 1070Ti</t>
  </si>
  <si>
    <t>AMD RX Vega 56</t>
  </si>
  <si>
    <t>AMD RX Vega 64</t>
  </si>
  <si>
    <t>Nvidia P106-100</t>
  </si>
  <si>
    <t>AMD Vega Frontier Edition</t>
  </si>
  <si>
    <t>AMD RX 570</t>
  </si>
  <si>
    <t>AMD RX 580</t>
  </si>
  <si>
    <t>AMD RX 560</t>
  </si>
  <si>
    <t>AMD RX 550</t>
  </si>
  <si>
    <t>Nvidia GTX 1080Ti</t>
  </si>
  <si>
    <t>Nvidia GTX 1050Ti</t>
  </si>
  <si>
    <t>Nvidia Quadro GP100</t>
  </si>
  <si>
    <t>Nvidia Tesla P40</t>
  </si>
  <si>
    <t>AMD RX 460</t>
  </si>
  <si>
    <t>AMD RX 470</t>
  </si>
  <si>
    <t>Nvidia GTX 1060</t>
  </si>
  <si>
    <t>AMD RX 480</t>
  </si>
  <si>
    <t>Nvidia Tesla P100-PCIE-16GB</t>
  </si>
  <si>
    <t>Nvidia GTX 1070</t>
  </si>
  <si>
    <t>Nvidia GTX 1080</t>
  </si>
  <si>
    <t>AMD R9 380X</t>
  </si>
  <si>
    <t>AMD R9 380</t>
  </si>
  <si>
    <t>AMD R9 390</t>
  </si>
  <si>
    <t>Nvidia GTX 980 Ti</t>
  </si>
  <si>
    <t>Nvidia Titan XP</t>
  </si>
  <si>
    <t>Nvidia TITAN X</t>
  </si>
  <si>
    <t>Nvidia GTX 960</t>
  </si>
  <si>
    <t>Nvidia GTX 970</t>
  </si>
  <si>
    <t>Nvidia GTX 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</si>
</sst>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.yyyy"/>
    <numFmt numFmtId="165" formatCode="0.0000"/>
    <numFmt numFmtId="166" formatCode="dd/mm/yyyy"/>
    <numFmt numFmtId="167" formatCode="0.000000000000000"/>
    <numFmt numFmtId="168" formatCode="d/m/yyyy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i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2" fontId="1" numFmtId="165" xfId="0" applyAlignment="1" applyFont="1" applyNumberForma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13"/>
    <col customWidth="1" min="13" max="13" width="41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</row>
    <row r="2">
      <c r="A2" s="7" t="s">
        <v>11</v>
      </c>
      <c r="B2" s="7" t="s">
        <v>12</v>
      </c>
      <c r="C2" s="8" t="s">
        <v>13</v>
      </c>
      <c r="D2" s="9">
        <v>44682.0</v>
      </c>
      <c r="E2" s="10"/>
      <c r="F2" s="8">
        <v>37.0</v>
      </c>
      <c r="G2" s="8">
        <v>8.0</v>
      </c>
      <c r="H2" s="8">
        <v>55.0</v>
      </c>
      <c r="I2" s="11">
        <f t="shared" ref="I2:I82" si="1">F2/H2</f>
        <v>0.6727272727</v>
      </c>
      <c r="J2" s="10">
        <f t="shared" ref="J2:J91" si="2">1/I2</f>
        <v>1.486486486</v>
      </c>
      <c r="K2" s="12">
        <f t="shared" ref="K2:K91" si="3">J2/1000000</f>
        <v>0.000001486486486</v>
      </c>
    </row>
    <row r="3">
      <c r="A3" s="7" t="s">
        <v>14</v>
      </c>
      <c r="B3" s="7" t="s">
        <v>12</v>
      </c>
      <c r="C3" s="8" t="s">
        <v>13</v>
      </c>
      <c r="D3" s="9">
        <v>44682.0</v>
      </c>
      <c r="E3" s="10"/>
      <c r="F3" s="8">
        <v>57.92</v>
      </c>
      <c r="G3" s="8">
        <v>12.0</v>
      </c>
      <c r="H3" s="8">
        <v>100.0</v>
      </c>
      <c r="I3" s="11">
        <f t="shared" si="1"/>
        <v>0.5792</v>
      </c>
      <c r="J3" s="10">
        <f t="shared" si="2"/>
        <v>1.726519337</v>
      </c>
      <c r="K3" s="12">
        <f t="shared" si="3"/>
        <v>0.000001726519337</v>
      </c>
    </row>
    <row r="4">
      <c r="A4" s="7" t="s">
        <v>15</v>
      </c>
      <c r="B4" s="7" t="s">
        <v>12</v>
      </c>
      <c r="C4" s="8" t="s">
        <v>13</v>
      </c>
      <c r="D4" s="9">
        <v>44682.0</v>
      </c>
      <c r="E4" s="10"/>
      <c r="F4" s="8">
        <v>77.21</v>
      </c>
      <c r="G4" s="8">
        <v>16.0</v>
      </c>
      <c r="H4" s="8">
        <v>145.0</v>
      </c>
      <c r="I4" s="11">
        <f t="shared" si="1"/>
        <v>0.5324827586</v>
      </c>
      <c r="J4" s="10">
        <f t="shared" si="2"/>
        <v>1.877995078</v>
      </c>
      <c r="K4" s="12">
        <f t="shared" si="3"/>
        <v>0.000001877995078</v>
      </c>
    </row>
    <row r="5">
      <c r="A5" s="7" t="s">
        <v>16</v>
      </c>
      <c r="B5" s="7" t="s">
        <v>17</v>
      </c>
      <c r="C5" s="8" t="s">
        <v>13</v>
      </c>
      <c r="D5" s="9">
        <v>44580.0</v>
      </c>
      <c r="E5" s="10"/>
      <c r="F5" s="8">
        <v>13.1</v>
      </c>
      <c r="G5" s="8">
        <v>4.0</v>
      </c>
      <c r="H5" s="8">
        <v>90.0</v>
      </c>
      <c r="I5" s="11">
        <f t="shared" si="1"/>
        <v>0.1455555556</v>
      </c>
      <c r="J5" s="10">
        <f t="shared" si="2"/>
        <v>6.870229008</v>
      </c>
      <c r="K5" s="12">
        <f t="shared" si="3"/>
        <v>0.000006870229008</v>
      </c>
    </row>
    <row r="6">
      <c r="A6" s="7" t="s">
        <v>18</v>
      </c>
      <c r="B6" s="7" t="s">
        <v>12</v>
      </c>
      <c r="C6" s="8" t="s">
        <v>19</v>
      </c>
      <c r="D6" s="9">
        <v>44565.0</v>
      </c>
      <c r="E6" s="10"/>
      <c r="F6" s="8">
        <v>23.20288</v>
      </c>
      <c r="G6" s="8">
        <v>8.0</v>
      </c>
      <c r="H6" s="8">
        <v>75.0</v>
      </c>
      <c r="I6" s="11">
        <f t="shared" si="1"/>
        <v>0.3093717333</v>
      </c>
      <c r="J6" s="10">
        <f t="shared" si="2"/>
        <v>3.232357363</v>
      </c>
      <c r="K6" s="12">
        <f t="shared" si="3"/>
        <v>0.000003232357363</v>
      </c>
    </row>
    <row r="7">
      <c r="A7" s="7" t="s">
        <v>20</v>
      </c>
      <c r="B7" s="7" t="s">
        <v>12</v>
      </c>
      <c r="C7" s="8" t="s">
        <v>19</v>
      </c>
      <c r="D7" s="9">
        <v>44562.0</v>
      </c>
      <c r="E7" s="10"/>
      <c r="F7" s="8">
        <v>132.0</v>
      </c>
      <c r="G7" s="8">
        <v>24.0</v>
      </c>
      <c r="H7" s="8">
        <v>346.0</v>
      </c>
      <c r="I7" s="11">
        <f t="shared" si="1"/>
        <v>0.3815028902</v>
      </c>
      <c r="J7" s="10">
        <f t="shared" si="2"/>
        <v>2.621212121</v>
      </c>
      <c r="K7" s="12">
        <f t="shared" si="3"/>
        <v>0.000002621212121</v>
      </c>
    </row>
    <row r="8">
      <c r="A8" s="7" t="s">
        <v>21</v>
      </c>
      <c r="B8" s="7" t="s">
        <v>12</v>
      </c>
      <c r="C8" s="8" t="s">
        <v>13</v>
      </c>
      <c r="D8" s="9">
        <v>44470.0</v>
      </c>
      <c r="E8" s="10"/>
      <c r="F8" s="8">
        <v>29.14245</v>
      </c>
      <c r="G8" s="8">
        <v>8.0</v>
      </c>
      <c r="H8" s="8">
        <v>56.0</v>
      </c>
      <c r="I8" s="11">
        <f t="shared" si="1"/>
        <v>0.5204008929</v>
      </c>
      <c r="J8" s="10">
        <f t="shared" si="2"/>
        <v>1.921595473</v>
      </c>
      <c r="K8" s="12">
        <f t="shared" si="3"/>
        <v>0.000001921595473</v>
      </c>
    </row>
    <row r="9">
      <c r="A9" s="7" t="s">
        <v>22</v>
      </c>
      <c r="B9" s="7" t="s">
        <v>12</v>
      </c>
      <c r="C9" s="8" t="s">
        <v>19</v>
      </c>
      <c r="D9" s="9">
        <v>44440.0</v>
      </c>
      <c r="E9" s="10"/>
      <c r="F9" s="8">
        <v>161.55</v>
      </c>
      <c r="G9" s="8">
        <v>16.0</v>
      </c>
      <c r="H9" s="8">
        <v>223.0</v>
      </c>
      <c r="I9" s="11">
        <f t="shared" si="1"/>
        <v>0.7244394619</v>
      </c>
      <c r="J9" s="10">
        <f t="shared" si="2"/>
        <v>1.380377592</v>
      </c>
      <c r="K9" s="12">
        <f t="shared" si="3"/>
        <v>0.000001380377592</v>
      </c>
    </row>
    <row r="10">
      <c r="A10" s="7" t="s">
        <v>23</v>
      </c>
      <c r="B10" s="7" t="s">
        <v>12</v>
      </c>
      <c r="C10" s="8" t="s">
        <v>19</v>
      </c>
      <c r="D10" s="9">
        <v>44418.0</v>
      </c>
      <c r="E10" s="10"/>
      <c r="F10" s="8">
        <v>32.70748</v>
      </c>
      <c r="G10" s="8">
        <v>6.0</v>
      </c>
      <c r="H10" s="8">
        <v>69.0</v>
      </c>
      <c r="I10" s="11">
        <f t="shared" si="1"/>
        <v>0.4740214493</v>
      </c>
      <c r="J10" s="10">
        <f t="shared" si="2"/>
        <v>2.109609178</v>
      </c>
      <c r="K10" s="12">
        <f t="shared" si="3"/>
        <v>0.000002109609178</v>
      </c>
    </row>
    <row r="11">
      <c r="A11" s="7" t="s">
        <v>24</v>
      </c>
      <c r="B11" s="7" t="s">
        <v>12</v>
      </c>
      <c r="C11" s="8" t="s">
        <v>13</v>
      </c>
      <c r="D11" s="9">
        <v>44409.0</v>
      </c>
      <c r="E11" s="10"/>
      <c r="F11" s="8">
        <v>32.32455</v>
      </c>
      <c r="G11" s="8">
        <v>8.0</v>
      </c>
      <c r="H11" s="8">
        <v>59.0</v>
      </c>
      <c r="I11" s="11">
        <f t="shared" si="1"/>
        <v>0.5478737288</v>
      </c>
      <c r="J11" s="10">
        <f t="shared" si="2"/>
        <v>1.825238093</v>
      </c>
      <c r="K11" s="12">
        <f t="shared" si="3"/>
        <v>0.000001825238093</v>
      </c>
    </row>
    <row r="12">
      <c r="A12" s="7" t="s">
        <v>25</v>
      </c>
      <c r="B12" s="7" t="s">
        <v>12</v>
      </c>
      <c r="C12" s="8" t="s">
        <v>19</v>
      </c>
      <c r="D12" s="9">
        <v>44405.0</v>
      </c>
      <c r="E12" s="10"/>
      <c r="F12" s="8">
        <v>89.4</v>
      </c>
      <c r="G12" s="8">
        <v>10.0</v>
      </c>
      <c r="H12" s="8">
        <v>249.0</v>
      </c>
      <c r="I12" s="11">
        <f t="shared" si="1"/>
        <v>0.3590361446</v>
      </c>
      <c r="J12" s="10">
        <f t="shared" si="2"/>
        <v>2.785234899</v>
      </c>
      <c r="K12" s="12">
        <f t="shared" si="3"/>
        <v>0.000002785234899</v>
      </c>
    </row>
    <row r="13">
      <c r="A13" s="7" t="s">
        <v>26</v>
      </c>
      <c r="B13" s="7" t="s">
        <v>12</v>
      </c>
      <c r="C13" s="8" t="s">
        <v>19</v>
      </c>
      <c r="D13" s="9">
        <v>44371.0</v>
      </c>
      <c r="E13" s="10"/>
      <c r="F13" s="8">
        <v>54.12</v>
      </c>
      <c r="G13" s="8">
        <v>10.0</v>
      </c>
      <c r="H13" s="8">
        <v>180.0</v>
      </c>
      <c r="I13" s="11">
        <f t="shared" si="1"/>
        <v>0.3006666667</v>
      </c>
      <c r="J13" s="10">
        <f t="shared" si="2"/>
        <v>3.32594235</v>
      </c>
      <c r="K13" s="12">
        <f t="shared" si="3"/>
        <v>0.00000332594235</v>
      </c>
    </row>
    <row r="14">
      <c r="A14" s="7" t="s">
        <v>27</v>
      </c>
      <c r="B14" s="7" t="s">
        <v>12</v>
      </c>
      <c r="C14" s="8" t="s">
        <v>19</v>
      </c>
      <c r="D14" s="9">
        <v>44348.0</v>
      </c>
      <c r="E14" s="10"/>
      <c r="F14" s="8">
        <v>81.818</v>
      </c>
      <c r="G14" s="8">
        <v>8.0</v>
      </c>
      <c r="H14" s="8">
        <v>189.0</v>
      </c>
      <c r="I14" s="11">
        <f t="shared" si="1"/>
        <v>0.4328994709</v>
      </c>
      <c r="J14" s="10">
        <f t="shared" si="2"/>
        <v>2.310005133</v>
      </c>
      <c r="K14" s="12">
        <f t="shared" si="3"/>
        <v>0.000002310005133</v>
      </c>
    </row>
    <row r="15">
      <c r="A15" s="7" t="s">
        <v>28</v>
      </c>
      <c r="B15" s="7" t="s">
        <v>12</v>
      </c>
      <c r="C15" s="8" t="s">
        <v>19</v>
      </c>
      <c r="D15" s="9">
        <v>44348.0</v>
      </c>
      <c r="E15" s="10"/>
      <c r="F15" s="8">
        <v>112.78</v>
      </c>
      <c r="G15" s="8">
        <v>12.0</v>
      </c>
      <c r="H15" s="8">
        <v>278.0</v>
      </c>
      <c r="I15" s="11">
        <f t="shared" si="1"/>
        <v>0.4056834532</v>
      </c>
      <c r="J15" s="10">
        <f t="shared" si="2"/>
        <v>2.46497606</v>
      </c>
      <c r="K15" s="12">
        <f t="shared" si="3"/>
        <v>0.00000246497606</v>
      </c>
    </row>
    <row r="16">
      <c r="A16" s="7" t="s">
        <v>29</v>
      </c>
      <c r="B16" s="7" t="s">
        <v>12</v>
      </c>
      <c r="C16" s="8" t="s">
        <v>19</v>
      </c>
      <c r="D16" s="9">
        <v>44326.0</v>
      </c>
      <c r="E16" s="10"/>
      <c r="F16" s="8">
        <v>23.018</v>
      </c>
      <c r="G16" s="8">
        <v>4.0</v>
      </c>
      <c r="H16" s="8">
        <v>75.0</v>
      </c>
      <c r="I16" s="11">
        <f t="shared" si="1"/>
        <v>0.3069066667</v>
      </c>
      <c r="J16" s="10">
        <f t="shared" si="2"/>
        <v>3.258319576</v>
      </c>
      <c r="K16" s="12">
        <f t="shared" si="3"/>
        <v>0.000003258319576</v>
      </c>
    </row>
    <row r="17">
      <c r="A17" s="7" t="s">
        <v>30</v>
      </c>
      <c r="B17" s="7" t="s">
        <v>12</v>
      </c>
      <c r="C17" s="8" t="s">
        <v>19</v>
      </c>
      <c r="D17" s="9">
        <v>44317.0</v>
      </c>
      <c r="E17" s="10"/>
      <c r="F17" s="8">
        <v>61.21572</v>
      </c>
      <c r="G17" s="8">
        <v>16.0</v>
      </c>
      <c r="H17" s="8">
        <v>123.0</v>
      </c>
      <c r="I17" s="11">
        <f t="shared" si="1"/>
        <v>0.4976887805</v>
      </c>
      <c r="J17" s="10">
        <f t="shared" si="2"/>
        <v>2.00928781</v>
      </c>
      <c r="K17" s="12">
        <f t="shared" si="3"/>
        <v>0.00000200928781</v>
      </c>
    </row>
    <row r="18">
      <c r="A18" s="7" t="s">
        <v>31</v>
      </c>
      <c r="B18" s="7" t="s">
        <v>12</v>
      </c>
      <c r="C18" s="8" t="s">
        <v>19</v>
      </c>
      <c r="D18" s="9">
        <v>44317.0</v>
      </c>
      <c r="E18" s="10"/>
      <c r="F18" s="8">
        <v>105.1</v>
      </c>
      <c r="G18" s="8">
        <v>24.0</v>
      </c>
      <c r="H18" s="8">
        <v>222.0</v>
      </c>
      <c r="I18" s="11">
        <f t="shared" si="1"/>
        <v>0.4734234234</v>
      </c>
      <c r="J18" s="10">
        <f t="shared" si="2"/>
        <v>2.112274025</v>
      </c>
      <c r="K18" s="12">
        <f t="shared" si="3"/>
        <v>0.000002112274025</v>
      </c>
    </row>
    <row r="19">
      <c r="A19" s="7" t="s">
        <v>32</v>
      </c>
      <c r="B19" s="7" t="s">
        <v>12</v>
      </c>
      <c r="C19" s="8" t="s">
        <v>19</v>
      </c>
      <c r="D19" s="9">
        <v>44287.0</v>
      </c>
      <c r="E19" s="10"/>
      <c r="F19" s="8">
        <v>102.0</v>
      </c>
      <c r="G19" s="8">
        <v>24.0</v>
      </c>
      <c r="H19" s="8">
        <v>140.0</v>
      </c>
      <c r="I19" s="11">
        <f t="shared" si="1"/>
        <v>0.7285714286</v>
      </c>
      <c r="J19" s="10">
        <f t="shared" si="2"/>
        <v>1.37254902</v>
      </c>
      <c r="K19" s="12">
        <f t="shared" si="3"/>
        <v>0.00000137254902</v>
      </c>
    </row>
    <row r="20">
      <c r="A20" s="7" t="s">
        <v>33</v>
      </c>
      <c r="B20" s="7" t="s">
        <v>12</v>
      </c>
      <c r="C20" s="8" t="s">
        <v>13</v>
      </c>
      <c r="D20" s="9">
        <v>44256.0</v>
      </c>
      <c r="E20" s="10"/>
      <c r="F20" s="8">
        <v>47.02455</v>
      </c>
      <c r="G20" s="8">
        <v>12.0</v>
      </c>
      <c r="H20" s="8">
        <v>121.0</v>
      </c>
      <c r="I20" s="11">
        <f t="shared" si="1"/>
        <v>0.3886326446</v>
      </c>
      <c r="J20" s="10">
        <f t="shared" si="2"/>
        <v>2.573124038</v>
      </c>
      <c r="K20" s="12">
        <f t="shared" si="3"/>
        <v>0.000002573124038</v>
      </c>
    </row>
    <row r="21">
      <c r="A21" s="7" t="s">
        <v>34</v>
      </c>
      <c r="B21" s="7" t="s">
        <v>12</v>
      </c>
      <c r="C21" s="8" t="s">
        <v>19</v>
      </c>
      <c r="D21" s="9">
        <v>44252.0</v>
      </c>
      <c r="E21" s="10"/>
      <c r="F21" s="8">
        <v>29.426</v>
      </c>
      <c r="G21" s="8">
        <v>8.0</v>
      </c>
      <c r="H21" s="8">
        <v>80.0</v>
      </c>
      <c r="I21" s="11">
        <f t="shared" si="1"/>
        <v>0.367825</v>
      </c>
      <c r="J21" s="10">
        <f t="shared" si="2"/>
        <v>2.718684157</v>
      </c>
      <c r="K21" s="12">
        <f t="shared" si="3"/>
        <v>0.000002718684157</v>
      </c>
    </row>
    <row r="22">
      <c r="A22" s="7" t="s">
        <v>35</v>
      </c>
      <c r="B22" s="7" t="s">
        <v>12</v>
      </c>
      <c r="C22" s="8" t="s">
        <v>19</v>
      </c>
      <c r="D22" s="9">
        <v>44252.0</v>
      </c>
      <c r="E22" s="10"/>
      <c r="F22" s="8">
        <v>40.89</v>
      </c>
      <c r="G22" s="8">
        <v>10.0</v>
      </c>
      <c r="H22" s="8">
        <v>176.0</v>
      </c>
      <c r="I22" s="11">
        <f t="shared" si="1"/>
        <v>0.2323295455</v>
      </c>
      <c r="J22" s="10">
        <f t="shared" si="2"/>
        <v>4.304230863</v>
      </c>
      <c r="K22" s="12">
        <f t="shared" si="3"/>
        <v>0.000004304230863</v>
      </c>
    </row>
    <row r="23">
      <c r="A23" s="7" t="s">
        <v>36</v>
      </c>
      <c r="B23" s="7" t="s">
        <v>12</v>
      </c>
      <c r="C23" s="8" t="s">
        <v>19</v>
      </c>
      <c r="D23" s="9">
        <v>44228.0</v>
      </c>
      <c r="E23" s="10"/>
      <c r="F23" s="8">
        <v>49.64</v>
      </c>
      <c r="G23" s="8">
        <v>12.0</v>
      </c>
      <c r="H23" s="8">
        <v>110.0</v>
      </c>
      <c r="I23" s="11">
        <f t="shared" si="1"/>
        <v>0.4512727273</v>
      </c>
      <c r="J23" s="10">
        <f t="shared" si="2"/>
        <v>2.215954875</v>
      </c>
      <c r="K23" s="12">
        <f t="shared" si="3"/>
        <v>0.000002215954875</v>
      </c>
    </row>
    <row r="24">
      <c r="A24" s="7" t="s">
        <v>37</v>
      </c>
      <c r="B24" s="7" t="s">
        <v>12</v>
      </c>
      <c r="C24" s="8" t="s">
        <v>19</v>
      </c>
      <c r="D24" s="9">
        <v>44166.0</v>
      </c>
      <c r="E24" s="10"/>
      <c r="F24" s="8">
        <v>60.21</v>
      </c>
      <c r="G24" s="8">
        <v>8.0</v>
      </c>
      <c r="H24" s="8">
        <v>120.0</v>
      </c>
      <c r="I24" s="11">
        <f t="shared" si="1"/>
        <v>0.50175</v>
      </c>
      <c r="J24" s="10">
        <f t="shared" si="2"/>
        <v>1.993024415</v>
      </c>
      <c r="K24" s="12">
        <f t="shared" si="3"/>
        <v>0.000001993024415</v>
      </c>
    </row>
    <row r="25">
      <c r="A25" s="7" t="s">
        <v>38</v>
      </c>
      <c r="B25" s="7" t="s">
        <v>12</v>
      </c>
      <c r="C25" s="8" t="s">
        <v>13</v>
      </c>
      <c r="D25" s="9">
        <v>44166.0</v>
      </c>
      <c r="E25" s="10"/>
      <c r="F25" s="8">
        <v>64.08</v>
      </c>
      <c r="G25" s="8">
        <v>16.0</v>
      </c>
      <c r="H25" s="8">
        <v>146.0</v>
      </c>
      <c r="I25" s="11">
        <f t="shared" si="1"/>
        <v>0.4389041096</v>
      </c>
      <c r="J25" s="10">
        <f t="shared" si="2"/>
        <v>2.278401998</v>
      </c>
      <c r="K25" s="12">
        <f t="shared" si="3"/>
        <v>0.000002278401998</v>
      </c>
    </row>
    <row r="26">
      <c r="A26" s="7" t="s">
        <v>39</v>
      </c>
      <c r="B26" s="7" t="s">
        <v>12</v>
      </c>
      <c r="C26" s="8" t="s">
        <v>19</v>
      </c>
      <c r="D26" s="9">
        <v>44166.0</v>
      </c>
      <c r="E26" s="10"/>
      <c r="F26" s="8">
        <v>93.6</v>
      </c>
      <c r="G26" s="8">
        <v>48.0</v>
      </c>
      <c r="H26" s="8">
        <v>240.0</v>
      </c>
      <c r="I26" s="11">
        <f t="shared" si="1"/>
        <v>0.39</v>
      </c>
      <c r="J26" s="10">
        <f t="shared" si="2"/>
        <v>2.564102564</v>
      </c>
      <c r="K26" s="12">
        <f t="shared" si="3"/>
        <v>0.000002564102564</v>
      </c>
    </row>
    <row r="27">
      <c r="A27" s="7" t="s">
        <v>40</v>
      </c>
      <c r="B27" s="7" t="s">
        <v>12</v>
      </c>
      <c r="C27" s="8" t="s">
        <v>13</v>
      </c>
      <c r="D27" s="9">
        <v>44136.0</v>
      </c>
      <c r="E27" s="10"/>
      <c r="F27" s="8">
        <v>63.18</v>
      </c>
      <c r="G27" s="8">
        <v>16.0</v>
      </c>
      <c r="H27" s="8">
        <v>122.0</v>
      </c>
      <c r="I27" s="11">
        <f t="shared" si="1"/>
        <v>0.5178688525</v>
      </c>
      <c r="J27" s="10">
        <f t="shared" si="2"/>
        <v>1.93099082</v>
      </c>
      <c r="K27" s="12">
        <f t="shared" si="3"/>
        <v>0.00000193099082</v>
      </c>
    </row>
    <row r="28">
      <c r="A28" s="7" t="s">
        <v>41</v>
      </c>
      <c r="B28" s="7" t="s">
        <v>12</v>
      </c>
      <c r="C28" s="8" t="s">
        <v>13</v>
      </c>
      <c r="D28" s="9">
        <v>44136.0</v>
      </c>
      <c r="E28" s="10"/>
      <c r="F28" s="8">
        <v>61.81</v>
      </c>
      <c r="G28" s="8">
        <v>16.0</v>
      </c>
      <c r="H28" s="8">
        <v>160.0</v>
      </c>
      <c r="I28" s="11">
        <f t="shared" si="1"/>
        <v>0.3863125</v>
      </c>
      <c r="J28" s="10">
        <f t="shared" si="2"/>
        <v>2.5885779</v>
      </c>
      <c r="K28" s="12">
        <f t="shared" si="3"/>
        <v>0.0000025885779</v>
      </c>
    </row>
    <row r="29">
      <c r="A29" s="7" t="s">
        <v>42</v>
      </c>
      <c r="B29" s="7" t="s">
        <v>17</v>
      </c>
      <c r="C29" s="8" t="s">
        <v>19</v>
      </c>
      <c r="D29" s="9">
        <v>44109.0</v>
      </c>
      <c r="E29" s="10"/>
      <c r="F29" s="8">
        <v>83.0</v>
      </c>
      <c r="G29" s="8">
        <v>48.0</v>
      </c>
      <c r="H29" s="8">
        <v>190.0</v>
      </c>
      <c r="I29" s="11">
        <f t="shared" si="1"/>
        <v>0.4368421053</v>
      </c>
      <c r="J29" s="10">
        <f t="shared" si="2"/>
        <v>2.289156627</v>
      </c>
      <c r="K29" s="12">
        <f t="shared" si="3"/>
        <v>0.000002289156627</v>
      </c>
    </row>
    <row r="30">
      <c r="A30" s="7" t="s">
        <v>43</v>
      </c>
      <c r="B30" s="7" t="s">
        <v>12</v>
      </c>
      <c r="C30" s="8" t="s">
        <v>19</v>
      </c>
      <c r="D30" s="9">
        <v>44105.0</v>
      </c>
      <c r="E30" s="10"/>
      <c r="F30" s="8">
        <v>61.7857</v>
      </c>
      <c r="G30" s="8">
        <v>8.0</v>
      </c>
      <c r="H30" s="8">
        <v>117.0</v>
      </c>
      <c r="I30" s="11">
        <f t="shared" si="1"/>
        <v>0.528082906</v>
      </c>
      <c r="J30" s="10">
        <f t="shared" si="2"/>
        <v>1.893642056</v>
      </c>
      <c r="K30" s="12">
        <f t="shared" si="3"/>
        <v>0.000001893642056</v>
      </c>
    </row>
    <row r="31">
      <c r="A31" s="7" t="s">
        <v>44</v>
      </c>
      <c r="B31" s="7" t="s">
        <v>12</v>
      </c>
      <c r="C31" s="8" t="s">
        <v>19</v>
      </c>
      <c r="D31" s="9">
        <v>44075.0</v>
      </c>
      <c r="E31" s="10"/>
      <c r="F31" s="8">
        <v>97.878</v>
      </c>
      <c r="G31" s="8">
        <v>10.0</v>
      </c>
      <c r="H31" s="8">
        <v>224.0</v>
      </c>
      <c r="I31" s="11">
        <f t="shared" si="1"/>
        <v>0.4369553571</v>
      </c>
      <c r="J31" s="10">
        <f t="shared" si="2"/>
        <v>2.288563314</v>
      </c>
      <c r="K31" s="12">
        <f t="shared" si="3"/>
        <v>0.000002288563314</v>
      </c>
    </row>
    <row r="32">
      <c r="A32" s="7" t="s">
        <v>45</v>
      </c>
      <c r="B32" s="7" t="s">
        <v>12</v>
      </c>
      <c r="C32" s="8" t="s">
        <v>19</v>
      </c>
      <c r="D32" s="9">
        <v>44075.0</v>
      </c>
      <c r="E32" s="10"/>
      <c r="F32" s="8">
        <v>121.162</v>
      </c>
      <c r="G32" s="8">
        <v>24.0</v>
      </c>
      <c r="H32" s="8">
        <v>290.0</v>
      </c>
      <c r="I32" s="11">
        <f t="shared" si="1"/>
        <v>0.4178</v>
      </c>
      <c r="J32" s="10">
        <f t="shared" si="2"/>
        <v>2.393489708</v>
      </c>
      <c r="K32" s="12">
        <f t="shared" si="3"/>
        <v>0.000002393489708</v>
      </c>
    </row>
    <row r="33">
      <c r="A33" s="7" t="s">
        <v>46</v>
      </c>
      <c r="B33" s="7" t="s">
        <v>17</v>
      </c>
      <c r="C33" s="8" t="s">
        <v>19</v>
      </c>
      <c r="D33" s="9">
        <v>43965.0</v>
      </c>
      <c r="E33" s="10"/>
      <c r="F33" s="8">
        <v>170.0</v>
      </c>
      <c r="G33" s="8">
        <v>40.0</v>
      </c>
      <c r="H33" s="8">
        <v>200.0</v>
      </c>
      <c r="I33" s="11">
        <f t="shared" si="1"/>
        <v>0.85</v>
      </c>
      <c r="J33" s="10">
        <f t="shared" si="2"/>
        <v>1.176470588</v>
      </c>
      <c r="K33" s="12">
        <f t="shared" si="3"/>
        <v>0.000001176470588</v>
      </c>
    </row>
    <row r="34">
      <c r="A34" s="7" t="s">
        <v>47</v>
      </c>
      <c r="B34" s="7" t="s">
        <v>12</v>
      </c>
      <c r="C34" s="8" t="str">
        <f>LEFT(R[0]C[-2],FIND(" ",R[0]C[-2]) - 1)</f>
        <v>#ERROR!</v>
      </c>
      <c r="D34" s="9">
        <v>43831.0</v>
      </c>
      <c r="E34" s="10"/>
      <c r="F34" s="8">
        <v>40.454</v>
      </c>
      <c r="G34" s="8">
        <v>6.0</v>
      </c>
      <c r="H34" s="8">
        <v>101.0</v>
      </c>
      <c r="I34" s="11">
        <f t="shared" si="1"/>
        <v>0.4005346535</v>
      </c>
      <c r="J34" s="10">
        <f t="shared" si="2"/>
        <v>2.496662876</v>
      </c>
      <c r="K34" s="12">
        <f t="shared" si="3"/>
        <v>0.000002496662876</v>
      </c>
    </row>
    <row r="35">
      <c r="A35" s="7" t="s">
        <v>48</v>
      </c>
      <c r="B35" s="7" t="s">
        <v>12</v>
      </c>
      <c r="C35" s="8" t="str">
        <f>LEFT(R[0]C[-2],FIND(" ",R[0]C[-2]) - 1)</f>
        <v>#ERROR!</v>
      </c>
      <c r="D35" s="9">
        <v>43831.0</v>
      </c>
      <c r="E35" s="10"/>
      <c r="F35" s="8">
        <v>40.454</v>
      </c>
      <c r="G35" s="8">
        <v>6.0</v>
      </c>
      <c r="H35" s="8">
        <v>101.0</v>
      </c>
      <c r="I35" s="11">
        <f t="shared" si="1"/>
        <v>0.4005346535</v>
      </c>
      <c r="J35" s="10">
        <f t="shared" si="2"/>
        <v>2.496662876</v>
      </c>
      <c r="K35" s="12">
        <f t="shared" si="3"/>
        <v>0.000002496662876</v>
      </c>
    </row>
    <row r="36">
      <c r="A36" s="7" t="s">
        <v>49</v>
      </c>
      <c r="B36" s="7" t="s">
        <v>12</v>
      </c>
      <c r="C36" s="8" t="str">
        <f>LEFT(R[0]C[-2],FIND(" ",R[0]C[-2]) - 1)</f>
        <v>#ERROR!</v>
      </c>
      <c r="D36" s="13">
        <v>43811.0</v>
      </c>
      <c r="E36" s="10"/>
      <c r="F36" s="8">
        <v>30.683</v>
      </c>
      <c r="G36" s="8">
        <v>8.0</v>
      </c>
      <c r="H36" s="8">
        <v>94.0</v>
      </c>
      <c r="I36" s="11">
        <f t="shared" si="1"/>
        <v>0.3264148936</v>
      </c>
      <c r="J36" s="10">
        <f t="shared" si="2"/>
        <v>3.063585699</v>
      </c>
      <c r="K36" s="12">
        <f t="shared" si="3"/>
        <v>0.000003063585699</v>
      </c>
    </row>
    <row r="37">
      <c r="A37" s="7" t="s">
        <v>50</v>
      </c>
      <c r="B37" s="7" t="s">
        <v>12</v>
      </c>
      <c r="C37" s="8" t="str">
        <f>LEFT(R[0]C[-2],FIND(" ",R[0]C[-2]) - 1)</f>
        <v>#ERROR!</v>
      </c>
      <c r="D37" s="13">
        <v>43791.0</v>
      </c>
      <c r="E37" s="10"/>
      <c r="F37" s="8">
        <v>5.649376</v>
      </c>
      <c r="G37" s="8">
        <v>4.0</v>
      </c>
      <c r="H37" s="8">
        <v>75.0</v>
      </c>
      <c r="I37" s="11">
        <f t="shared" si="1"/>
        <v>0.07532501333</v>
      </c>
      <c r="J37" s="10">
        <f t="shared" si="2"/>
        <v>13.2758025</v>
      </c>
      <c r="K37" s="12">
        <f t="shared" si="3"/>
        <v>0.0000132758025</v>
      </c>
    </row>
    <row r="38">
      <c r="A38" s="7" t="s">
        <v>51</v>
      </c>
      <c r="B38" s="7" t="s">
        <v>12</v>
      </c>
      <c r="C38" s="8" t="str">
        <f>LEFT(R[0]C[-2],FIND(" ",R[0]C[-2]) - 1)</f>
        <v>#ERROR!</v>
      </c>
      <c r="D38" s="13">
        <v>43767.0</v>
      </c>
      <c r="E38" s="10"/>
      <c r="F38" s="8">
        <v>31.606</v>
      </c>
      <c r="G38" s="8">
        <v>6.0</v>
      </c>
      <c r="H38" s="8">
        <v>90.0</v>
      </c>
      <c r="I38" s="11">
        <f t="shared" si="1"/>
        <v>0.3511777778</v>
      </c>
      <c r="J38" s="10">
        <f t="shared" si="2"/>
        <v>2.84756059</v>
      </c>
      <c r="K38" s="12">
        <f t="shared" si="3"/>
        <v>0.00000284756059</v>
      </c>
    </row>
    <row r="39">
      <c r="A39" s="7" t="s">
        <v>52</v>
      </c>
      <c r="B39" s="7" t="s">
        <v>12</v>
      </c>
      <c r="C39" s="8" t="str">
        <f>LEFT(R[0]C[-2],FIND(" ",R[0]C[-2]) - 1)</f>
        <v>#ERROR!</v>
      </c>
      <c r="D39" s="9">
        <v>43739.0</v>
      </c>
      <c r="E39" s="10"/>
      <c r="F39" s="8">
        <v>30.683</v>
      </c>
      <c r="G39" s="8">
        <v>4.0</v>
      </c>
      <c r="H39" s="8">
        <v>94.0</v>
      </c>
      <c r="I39" s="11">
        <f t="shared" si="1"/>
        <v>0.3264148936</v>
      </c>
      <c r="J39" s="10">
        <f t="shared" si="2"/>
        <v>3.063585699</v>
      </c>
      <c r="K39" s="12">
        <f t="shared" si="3"/>
        <v>0.000003063585699</v>
      </c>
    </row>
    <row r="40">
      <c r="A40" s="7" t="s">
        <v>53</v>
      </c>
      <c r="B40" s="7" t="s">
        <v>12</v>
      </c>
      <c r="C40" s="8" t="str">
        <f>LEFT(R[0]C[-2],FIND(" ",R[0]C[-2]) - 1)</f>
        <v>#ERROR!</v>
      </c>
      <c r="D40" s="9">
        <v>43669.0</v>
      </c>
      <c r="E40" s="10"/>
      <c r="F40" s="8">
        <v>44.543</v>
      </c>
      <c r="G40" s="8">
        <v>8.0</v>
      </c>
      <c r="H40" s="8">
        <v>192.0</v>
      </c>
      <c r="I40" s="11">
        <f t="shared" si="1"/>
        <v>0.2319947917</v>
      </c>
      <c r="J40" s="10">
        <f t="shared" si="2"/>
        <v>4.310441596</v>
      </c>
      <c r="K40" s="12">
        <f t="shared" si="3"/>
        <v>0.000004310441596</v>
      </c>
    </row>
    <row r="41">
      <c r="A41" s="7" t="s">
        <v>54</v>
      </c>
      <c r="B41" s="7" t="s">
        <v>12</v>
      </c>
      <c r="C41" s="8" t="str">
        <f>LEFT(R[0]C[-2],FIND(" ",R[0]C[-2]) - 1)</f>
        <v>#ERROR!</v>
      </c>
      <c r="D41" s="9">
        <v>43655.0</v>
      </c>
      <c r="E41" s="10"/>
      <c r="F41" s="8">
        <v>38.75065</v>
      </c>
      <c r="G41" s="8">
        <v>8.0</v>
      </c>
      <c r="H41" s="8">
        <v>131.0</v>
      </c>
      <c r="I41" s="11">
        <f t="shared" si="1"/>
        <v>0.2958064885</v>
      </c>
      <c r="J41" s="10">
        <f t="shared" si="2"/>
        <v>3.380588455</v>
      </c>
      <c r="K41" s="12">
        <f t="shared" si="3"/>
        <v>0.000003380588455</v>
      </c>
    </row>
    <row r="42">
      <c r="A42" s="7" t="s">
        <v>55</v>
      </c>
      <c r="B42" s="7" t="s">
        <v>12</v>
      </c>
      <c r="C42" s="8" t="str">
        <f>LEFT(R[0]C[-2],FIND(" ",R[0]C[-2]) - 1)</f>
        <v>#ERROR!</v>
      </c>
      <c r="D42" s="9">
        <v>43655.0</v>
      </c>
      <c r="E42" s="10"/>
      <c r="F42" s="8">
        <v>37.451</v>
      </c>
      <c r="G42" s="8">
        <v>8.0</v>
      </c>
      <c r="H42" s="8">
        <v>176.0</v>
      </c>
      <c r="I42" s="11">
        <f t="shared" si="1"/>
        <v>0.2127897727</v>
      </c>
      <c r="J42" s="10">
        <f t="shared" si="2"/>
        <v>4.699473979</v>
      </c>
      <c r="K42" s="12">
        <f t="shared" si="3"/>
        <v>0.000004699473979</v>
      </c>
    </row>
    <row r="43">
      <c r="A43" s="7" t="s">
        <v>56</v>
      </c>
      <c r="B43" s="7" t="s">
        <v>12</v>
      </c>
      <c r="C43" s="9" t="str">
        <f>LEFT(R[0]C[-2],FIND(" ",R[0]C[-2]) - 1)</f>
        <v>#ERROR!</v>
      </c>
      <c r="D43" s="9">
        <v>43647.0</v>
      </c>
      <c r="E43" s="10"/>
      <c r="F43" s="8">
        <v>54.282</v>
      </c>
      <c r="G43" s="8">
        <v>8.0</v>
      </c>
      <c r="H43" s="8">
        <v>91.0</v>
      </c>
      <c r="I43" s="11">
        <f t="shared" si="1"/>
        <v>0.5965054945</v>
      </c>
      <c r="J43" s="10">
        <f t="shared" si="2"/>
        <v>1.676430493</v>
      </c>
      <c r="K43" s="12">
        <f t="shared" si="3"/>
        <v>0.000001676430493</v>
      </c>
    </row>
    <row r="44">
      <c r="A44" s="7" t="s">
        <v>57</v>
      </c>
      <c r="B44" s="7" t="s">
        <v>12</v>
      </c>
      <c r="C44" s="9" t="str">
        <f>LEFT(R[0]C[-2],FIND(" ",R[0]C[-2]) - 1)</f>
        <v>#ERROR!</v>
      </c>
      <c r="D44" s="9">
        <v>43647.0</v>
      </c>
      <c r="E44" s="10"/>
      <c r="F44" s="8">
        <v>54.86</v>
      </c>
      <c r="G44" s="8">
        <v>8.0</v>
      </c>
      <c r="H44" s="8">
        <v>112.0</v>
      </c>
      <c r="I44" s="11">
        <f t="shared" si="1"/>
        <v>0.4898214286</v>
      </c>
      <c r="J44" s="10">
        <f t="shared" si="2"/>
        <v>2.041560335</v>
      </c>
      <c r="K44" s="12">
        <f t="shared" si="3"/>
        <v>0.000002041560335</v>
      </c>
    </row>
    <row r="45">
      <c r="A45" s="7" t="s">
        <v>58</v>
      </c>
      <c r="B45" s="7" t="s">
        <v>17</v>
      </c>
      <c r="C45" s="8" t="str">
        <f>LEFT(R[0]C[-2],FIND(" ",R[0]C[-2]) - 1)</f>
        <v>#ERROR!</v>
      </c>
      <c r="D45" s="9">
        <v>43626.0</v>
      </c>
      <c r="E45" s="10"/>
      <c r="F45" s="8">
        <v>13.78</v>
      </c>
      <c r="G45" s="8">
        <v>5.0</v>
      </c>
      <c r="H45" s="8">
        <v>65.0</v>
      </c>
      <c r="I45" s="11">
        <f t="shared" si="1"/>
        <v>0.212</v>
      </c>
      <c r="J45" s="10">
        <f t="shared" si="2"/>
        <v>4.716981132</v>
      </c>
      <c r="K45" s="12">
        <f t="shared" si="3"/>
        <v>0.000004716981132</v>
      </c>
    </row>
    <row r="46">
      <c r="A46" s="7" t="s">
        <v>59</v>
      </c>
      <c r="B46" s="7" t="s">
        <v>12</v>
      </c>
      <c r="C46" s="9" t="str">
        <f>LEFT(R[0]C[-2],FIND(" ",R[0]C[-2]) - 1)</f>
        <v>#ERROR!</v>
      </c>
      <c r="D46" s="9">
        <v>43617.0</v>
      </c>
      <c r="E46" s="10"/>
      <c r="F46" s="8">
        <v>104.6</v>
      </c>
      <c r="G46" s="8">
        <v>16.0</v>
      </c>
      <c r="H46" s="8">
        <v>195.0</v>
      </c>
      <c r="I46" s="11">
        <f t="shared" si="1"/>
        <v>0.5364102564</v>
      </c>
      <c r="J46" s="10">
        <f t="shared" si="2"/>
        <v>1.864244742</v>
      </c>
      <c r="K46" s="12">
        <f t="shared" si="3"/>
        <v>0.000001864244742</v>
      </c>
    </row>
    <row r="47">
      <c r="A47" s="7" t="s">
        <v>60</v>
      </c>
      <c r="B47" s="7" t="s">
        <v>12</v>
      </c>
      <c r="C47" s="8" t="str">
        <f>LEFT(R[0]C[-2],FIND(" ",R[0]C[-2]) - 1)</f>
        <v>#ERROR!</v>
      </c>
      <c r="D47" s="9">
        <v>43578.0</v>
      </c>
      <c r="E47" s="10"/>
      <c r="F47" s="8">
        <v>13.887</v>
      </c>
      <c r="G47" s="8">
        <v>4.0</v>
      </c>
      <c r="H47" s="8">
        <v>75.0</v>
      </c>
      <c r="I47" s="11">
        <f t="shared" si="1"/>
        <v>0.18516</v>
      </c>
      <c r="J47" s="10">
        <f t="shared" si="2"/>
        <v>5.4007345</v>
      </c>
      <c r="K47" s="12">
        <f t="shared" si="3"/>
        <v>0.0000054007345</v>
      </c>
    </row>
    <row r="48">
      <c r="A48" s="7" t="s">
        <v>61</v>
      </c>
      <c r="B48" s="7" t="s">
        <v>12</v>
      </c>
      <c r="C48" s="8" t="str">
        <f>LEFT(R[0]C[-2],FIND(" ",R[0]C[-2]) - 1)</f>
        <v>#ERROR!</v>
      </c>
      <c r="D48" s="9">
        <v>43538.0</v>
      </c>
      <c r="E48" s="10"/>
      <c r="F48" s="8">
        <v>21.33533</v>
      </c>
      <c r="G48" s="8">
        <v>6.0</v>
      </c>
      <c r="H48" s="8">
        <v>87.0</v>
      </c>
      <c r="I48" s="11">
        <f t="shared" si="1"/>
        <v>0.2452336782</v>
      </c>
      <c r="J48" s="10">
        <f t="shared" si="2"/>
        <v>4.077743349</v>
      </c>
      <c r="K48" s="12">
        <f t="shared" si="3"/>
        <v>0.000004077743349</v>
      </c>
    </row>
    <row r="49">
      <c r="A49" s="7" t="s">
        <v>62</v>
      </c>
      <c r="B49" s="7" t="s">
        <v>12</v>
      </c>
      <c r="C49" s="8" t="str">
        <f>LEFT(R[0]C[-2],FIND(" ",R[0]C[-2]) - 1)</f>
        <v>#ERROR!</v>
      </c>
      <c r="D49" s="9">
        <v>43518.0</v>
      </c>
      <c r="E49" s="10"/>
      <c r="F49" s="8">
        <v>25.84274</v>
      </c>
      <c r="G49" s="8">
        <v>6.0</v>
      </c>
      <c r="H49" s="8">
        <v>105.0</v>
      </c>
      <c r="I49" s="11">
        <f t="shared" si="1"/>
        <v>0.2461213333</v>
      </c>
      <c r="J49" s="10">
        <f t="shared" si="2"/>
        <v>4.063036659</v>
      </c>
      <c r="K49" s="12">
        <f t="shared" si="3"/>
        <v>0.000004063036659</v>
      </c>
    </row>
    <row r="50">
      <c r="A50" s="7" t="s">
        <v>63</v>
      </c>
      <c r="B50" s="7" t="s">
        <v>12</v>
      </c>
      <c r="C50" s="8" t="str">
        <f>LEFT(R[0]C[-2],FIND(" ",R[0]C[-2]) - 1)</f>
        <v>#ERROR!</v>
      </c>
      <c r="D50" s="9">
        <v>43472.0</v>
      </c>
      <c r="E50" s="10"/>
      <c r="F50" s="8">
        <v>27.735</v>
      </c>
      <c r="G50" s="8">
        <v>6.0</v>
      </c>
      <c r="H50" s="8">
        <v>141.0</v>
      </c>
      <c r="I50" s="11">
        <f t="shared" si="1"/>
        <v>0.1967021277</v>
      </c>
      <c r="J50" s="10">
        <f t="shared" si="2"/>
        <v>5.083829097</v>
      </c>
      <c r="K50" s="12">
        <f t="shared" si="3"/>
        <v>0.000005083829097</v>
      </c>
    </row>
    <row r="51">
      <c r="A51" s="7" t="s">
        <v>64</v>
      </c>
      <c r="B51" s="7" t="s">
        <v>17</v>
      </c>
      <c r="C51" s="8" t="str">
        <f>LEFT(R[0]C[-2],FIND(" ",R[0]C[-2]) - 1)</f>
        <v>#ERROR!</v>
      </c>
      <c r="D51" s="13">
        <v>43452.0</v>
      </c>
      <c r="E51" s="10"/>
      <c r="F51" s="8">
        <v>56.0</v>
      </c>
      <c r="G51" s="8">
        <v>24.0</v>
      </c>
      <c r="H51" s="8">
        <v>250.0</v>
      </c>
      <c r="I51" s="11">
        <f t="shared" si="1"/>
        <v>0.224</v>
      </c>
      <c r="J51" s="10">
        <f t="shared" si="2"/>
        <v>4.464285714</v>
      </c>
      <c r="K51" s="12">
        <f t="shared" si="3"/>
        <v>0.000004464285714</v>
      </c>
    </row>
    <row r="52">
      <c r="A52" s="7" t="s">
        <v>65</v>
      </c>
      <c r="B52" s="7" t="s">
        <v>17</v>
      </c>
      <c r="C52" s="8" t="str">
        <f>LEFT(R[0]C[-2],FIND(" ",R[0]C[-2]) - 1)</f>
        <v>#ERROR!</v>
      </c>
      <c r="D52" s="13">
        <v>43417.0</v>
      </c>
      <c r="E52" s="10"/>
      <c r="F52" s="8">
        <v>37.04</v>
      </c>
      <c r="G52" s="8">
        <v>8.0</v>
      </c>
      <c r="H52" s="8">
        <v>83.0</v>
      </c>
      <c r="I52" s="11">
        <f t="shared" si="1"/>
        <v>0.4462650602</v>
      </c>
      <c r="J52" s="10">
        <f t="shared" si="2"/>
        <v>2.240820734</v>
      </c>
      <c r="K52" s="12">
        <f t="shared" si="3"/>
        <v>0.000002240820734</v>
      </c>
    </row>
    <row r="53">
      <c r="A53" s="7" t="s">
        <v>66</v>
      </c>
      <c r="B53" s="7" t="s">
        <v>12</v>
      </c>
      <c r="C53" s="9" t="str">
        <f>LEFT(R[0]C[-2],FIND(" ",R[0]C[-2]) - 1)</f>
        <v>#ERROR!</v>
      </c>
      <c r="D53" s="9">
        <v>43405.0</v>
      </c>
      <c r="E53" s="10"/>
      <c r="F53" s="8">
        <v>29.533</v>
      </c>
      <c r="G53" s="8">
        <v>8.0</v>
      </c>
      <c r="H53" s="8">
        <v>160.0</v>
      </c>
      <c r="I53" s="11">
        <f t="shared" si="1"/>
        <v>0.18458125</v>
      </c>
      <c r="J53" s="10">
        <f t="shared" si="2"/>
        <v>5.417668371</v>
      </c>
      <c r="K53" s="12">
        <f t="shared" si="3"/>
        <v>0.000005417668371</v>
      </c>
    </row>
    <row r="54">
      <c r="A54" s="7" t="s">
        <v>67</v>
      </c>
      <c r="B54" s="7" t="s">
        <v>12</v>
      </c>
      <c r="C54" s="8" t="str">
        <f>LEFT(R[0]C[-2],FIND(" ",R[0]C[-2]) - 1)</f>
        <v>#ERROR!</v>
      </c>
      <c r="D54" s="13">
        <v>43390.0</v>
      </c>
      <c r="E54" s="10"/>
      <c r="F54" s="8">
        <v>36.623</v>
      </c>
      <c r="G54" s="8">
        <v>8.0</v>
      </c>
      <c r="H54" s="8">
        <v>163.0</v>
      </c>
      <c r="I54" s="11">
        <f t="shared" si="1"/>
        <v>0.2246809816</v>
      </c>
      <c r="J54" s="10">
        <f t="shared" si="2"/>
        <v>4.45075499</v>
      </c>
      <c r="K54" s="12">
        <f t="shared" si="3"/>
        <v>0.00000445075499</v>
      </c>
    </row>
    <row r="55">
      <c r="A55" s="7" t="s">
        <v>68</v>
      </c>
      <c r="B55" s="7" t="s">
        <v>12</v>
      </c>
      <c r="C55" s="8" t="str">
        <f>LEFT(R[0]C[-2],FIND(" ",R[0]C[-2]) - 1)</f>
        <v>#ERROR!</v>
      </c>
      <c r="D55" s="9">
        <v>43370.0</v>
      </c>
      <c r="E55" s="10"/>
      <c r="F55" s="8">
        <v>59.21295</v>
      </c>
      <c r="G55" s="8">
        <v>11.0</v>
      </c>
      <c r="H55" s="8">
        <v>150.0</v>
      </c>
      <c r="I55" s="11">
        <f t="shared" si="1"/>
        <v>0.394753</v>
      </c>
      <c r="J55" s="10">
        <f t="shared" si="2"/>
        <v>2.53322964</v>
      </c>
      <c r="K55" s="12">
        <f t="shared" si="3"/>
        <v>0.00000253322964</v>
      </c>
    </row>
    <row r="56">
      <c r="A56" s="7" t="s">
        <v>69</v>
      </c>
      <c r="B56" s="7" t="s">
        <v>12</v>
      </c>
      <c r="C56" s="8" t="str">
        <f>LEFT(R[0]C[-2],FIND(" ",R[0]C[-2]) - 1)</f>
        <v>#ERROR!</v>
      </c>
      <c r="D56" s="9">
        <v>43363.0</v>
      </c>
      <c r="E56" s="10"/>
      <c r="F56" s="8">
        <v>37.30829</v>
      </c>
      <c r="G56" s="8">
        <v>8.0</v>
      </c>
      <c r="H56" s="8">
        <v>154.0</v>
      </c>
      <c r="I56" s="11">
        <f t="shared" si="1"/>
        <v>0.2422616234</v>
      </c>
      <c r="J56" s="10">
        <f t="shared" si="2"/>
        <v>4.127768922</v>
      </c>
      <c r="K56" s="12">
        <f t="shared" si="3"/>
        <v>0.000004127768922</v>
      </c>
    </row>
    <row r="57">
      <c r="A57" s="7" t="s">
        <v>70</v>
      </c>
      <c r="B57" s="7" t="s">
        <v>17</v>
      </c>
      <c r="C57" s="8" t="str">
        <f>LEFT(R[0]C[-2],FIND(" ",R[0]C[-2]) - 1)</f>
        <v>#ERROR!</v>
      </c>
      <c r="D57" s="9">
        <v>43356.0</v>
      </c>
      <c r="E57" s="10"/>
      <c r="F57" s="8">
        <v>24.0</v>
      </c>
      <c r="G57" s="8">
        <v>16.0</v>
      </c>
      <c r="H57" s="8">
        <v>65.0</v>
      </c>
      <c r="I57" s="11">
        <f t="shared" si="1"/>
        <v>0.3692307692</v>
      </c>
      <c r="J57" s="10">
        <f t="shared" si="2"/>
        <v>2.708333333</v>
      </c>
      <c r="K57" s="12">
        <f t="shared" si="3"/>
        <v>0.000002708333333</v>
      </c>
    </row>
    <row r="58">
      <c r="A58" s="7" t="s">
        <v>71</v>
      </c>
      <c r="B58" s="7" t="s">
        <v>17</v>
      </c>
      <c r="C58" s="8" t="str">
        <f>LEFT(R[0]C[-2],FIND(" ",R[0]C[-2]) - 1)</f>
        <v>#ERROR!</v>
      </c>
      <c r="D58" s="9">
        <v>43325.0</v>
      </c>
      <c r="E58" s="10"/>
      <c r="F58" s="8">
        <v>55.8</v>
      </c>
      <c r="G58" s="8">
        <v>48.0</v>
      </c>
      <c r="H58" s="8">
        <v>160.0</v>
      </c>
      <c r="I58" s="11">
        <f t="shared" si="1"/>
        <v>0.34875</v>
      </c>
      <c r="J58" s="10">
        <f t="shared" si="2"/>
        <v>2.867383513</v>
      </c>
      <c r="K58" s="12">
        <f t="shared" si="3"/>
        <v>0.000002867383513</v>
      </c>
    </row>
    <row r="59">
      <c r="A59" s="7" t="s">
        <v>72</v>
      </c>
      <c r="B59" s="7" t="s">
        <v>12</v>
      </c>
      <c r="C59" s="8" t="str">
        <f>LEFT(R[0]C[-2],FIND(" ",R[0]C[-2]) - 1)</f>
        <v>#ERROR!</v>
      </c>
      <c r="D59" s="9">
        <v>43241.0</v>
      </c>
      <c r="E59" s="10"/>
      <c r="F59" s="8">
        <v>12.529</v>
      </c>
      <c r="G59" s="8">
        <v>3.0</v>
      </c>
      <c r="H59" s="8">
        <v>65.0</v>
      </c>
      <c r="I59" s="11">
        <f t="shared" si="1"/>
        <v>0.1927538462</v>
      </c>
      <c r="J59" s="10">
        <f t="shared" si="2"/>
        <v>5.187963924</v>
      </c>
      <c r="K59" s="12">
        <f t="shared" si="3"/>
        <v>0.000005187963924</v>
      </c>
    </row>
    <row r="60">
      <c r="A60" s="7" t="s">
        <v>73</v>
      </c>
      <c r="B60" s="7" t="s">
        <v>12</v>
      </c>
      <c r="C60" s="8" t="str">
        <f>LEFT(R[0]C[-2],FIND(" ",R[0]C[-2]) - 1)</f>
        <v>#ERROR!</v>
      </c>
      <c r="D60" s="9">
        <v>43143.0</v>
      </c>
      <c r="E60" s="10"/>
      <c r="F60" s="8">
        <v>44.54744</v>
      </c>
      <c r="G60" s="8">
        <v>5.0</v>
      </c>
      <c r="H60" s="8">
        <v>220.0</v>
      </c>
      <c r="I60" s="11">
        <f t="shared" si="1"/>
        <v>0.2024883636</v>
      </c>
      <c r="J60" s="10">
        <f t="shared" si="2"/>
        <v>4.938555392</v>
      </c>
      <c r="K60" s="12">
        <f t="shared" si="3"/>
        <v>0.000004938555392</v>
      </c>
    </row>
    <row r="61">
      <c r="A61" s="7" t="s">
        <v>74</v>
      </c>
      <c r="B61" s="7" t="s">
        <v>12</v>
      </c>
      <c r="C61" s="8" t="str">
        <f>LEFT(R[0]C[-2],FIND(" ",R[0]C[-2]) - 1)</f>
        <v>#ERROR!</v>
      </c>
      <c r="D61" s="13">
        <v>43081.0</v>
      </c>
      <c r="E61" s="10"/>
      <c r="F61" s="8">
        <v>32.50744</v>
      </c>
      <c r="G61" s="8">
        <v>4.0</v>
      </c>
      <c r="H61" s="8">
        <v>122.0</v>
      </c>
      <c r="I61" s="11">
        <f t="shared" si="1"/>
        <v>0.2664544262</v>
      </c>
      <c r="J61" s="10">
        <f t="shared" si="2"/>
        <v>3.752987009</v>
      </c>
      <c r="K61" s="12">
        <f t="shared" si="3"/>
        <v>0.000003752987009</v>
      </c>
    </row>
    <row r="62">
      <c r="A62" s="7" t="s">
        <v>75</v>
      </c>
      <c r="B62" s="7" t="s">
        <v>12</v>
      </c>
      <c r="C62" s="8" t="str">
        <f>LEFT(R[0]C[-2],FIND(" ",R[0]C[-2]) - 1)</f>
        <v>#ERROR!</v>
      </c>
      <c r="D62" s="9">
        <v>43076.0</v>
      </c>
      <c r="E62" s="10"/>
      <c r="F62" s="8">
        <v>74.365</v>
      </c>
      <c r="G62" s="8">
        <v>12.0</v>
      </c>
      <c r="H62" s="8">
        <v>160.0</v>
      </c>
      <c r="I62" s="11">
        <f t="shared" si="1"/>
        <v>0.46478125</v>
      </c>
      <c r="J62" s="10">
        <f t="shared" si="2"/>
        <v>2.151549788</v>
      </c>
      <c r="K62" s="12">
        <f t="shared" si="3"/>
        <v>0.000002151549788</v>
      </c>
    </row>
    <row r="63">
      <c r="A63" s="7" t="s">
        <v>76</v>
      </c>
      <c r="B63" s="7" t="s">
        <v>12</v>
      </c>
      <c r="C63" s="8" t="str">
        <f>LEFT(R[0]C[-2],FIND(" ",R[0]C[-2]) - 1)</f>
        <v>#ERROR!</v>
      </c>
      <c r="D63" s="9">
        <v>43041.0</v>
      </c>
      <c r="E63" s="10"/>
      <c r="F63" s="8">
        <v>28.444</v>
      </c>
      <c r="G63" s="8">
        <v>8.0</v>
      </c>
      <c r="H63" s="8">
        <v>147.0</v>
      </c>
      <c r="I63" s="11">
        <f t="shared" si="1"/>
        <v>0.1934965986</v>
      </c>
      <c r="J63" s="10">
        <f t="shared" si="2"/>
        <v>5.168049501</v>
      </c>
      <c r="K63" s="12">
        <f t="shared" si="3"/>
        <v>0.000005168049501</v>
      </c>
    </row>
    <row r="64">
      <c r="A64" s="7" t="s">
        <v>77</v>
      </c>
      <c r="B64" s="7" t="s">
        <v>12</v>
      </c>
      <c r="C64" s="9" t="str">
        <f>LEFT(R[0]C[-2],FIND(" ",R[0]C[-2]) - 1)</f>
        <v>#ERROR!</v>
      </c>
      <c r="D64" s="9">
        <v>42975.0</v>
      </c>
      <c r="E64" s="10"/>
      <c r="F64" s="8">
        <v>47.52453</v>
      </c>
      <c r="G64" s="8">
        <v>8.0</v>
      </c>
      <c r="H64" s="8">
        <v>165.0</v>
      </c>
      <c r="I64" s="11">
        <f t="shared" si="1"/>
        <v>0.2880274545</v>
      </c>
      <c r="J64" s="10">
        <f t="shared" si="2"/>
        <v>3.471891253</v>
      </c>
      <c r="K64" s="12">
        <f t="shared" si="3"/>
        <v>0.000003471891253</v>
      </c>
    </row>
    <row r="65">
      <c r="A65" s="7" t="s">
        <v>78</v>
      </c>
      <c r="B65" s="7" t="s">
        <v>12</v>
      </c>
      <c r="C65" s="9" t="str">
        <f>LEFT(R[0]C[-2],FIND(" ",R[0]C[-2]) - 1)</f>
        <v>#ERROR!</v>
      </c>
      <c r="D65" s="9">
        <v>42961.0</v>
      </c>
      <c r="E65" s="10"/>
      <c r="F65" s="8">
        <v>49.24512</v>
      </c>
      <c r="G65" s="8">
        <v>8.0</v>
      </c>
      <c r="H65" s="8">
        <v>170.0</v>
      </c>
      <c r="I65" s="11">
        <f t="shared" si="1"/>
        <v>0.2896771765</v>
      </c>
      <c r="J65" s="10">
        <f t="shared" si="2"/>
        <v>3.452118707</v>
      </c>
      <c r="K65" s="12">
        <f t="shared" si="3"/>
        <v>0.000003452118707</v>
      </c>
    </row>
    <row r="66">
      <c r="A66" s="7" t="s">
        <v>79</v>
      </c>
      <c r="B66" s="7" t="s">
        <v>12</v>
      </c>
      <c r="C66" s="8" t="str">
        <f>LEFT(R[0]C[-2],FIND(" ",R[0]C[-2]) - 1)</f>
        <v>#ERROR!</v>
      </c>
      <c r="D66" s="9">
        <v>42905.0</v>
      </c>
      <c r="E66" s="10"/>
      <c r="F66" s="8">
        <v>21.36714</v>
      </c>
      <c r="G66" s="8">
        <v>6.0</v>
      </c>
      <c r="H66" s="8">
        <v>108.0</v>
      </c>
      <c r="I66" s="11">
        <f t="shared" si="1"/>
        <v>0.1978438889</v>
      </c>
      <c r="J66" s="10">
        <f t="shared" si="2"/>
        <v>5.054490213</v>
      </c>
      <c r="K66" s="12">
        <f t="shared" si="3"/>
        <v>0.000005054490213</v>
      </c>
    </row>
    <row r="67">
      <c r="A67" s="7" t="s">
        <v>80</v>
      </c>
      <c r="B67" s="7" t="s">
        <v>12</v>
      </c>
      <c r="C67" s="9" t="str">
        <f>LEFT(R[0]C[-2],FIND(" ",R[0]C[-2]) - 1)</f>
        <v>#ERROR!</v>
      </c>
      <c r="D67" s="9">
        <v>42887.0</v>
      </c>
      <c r="E67" s="10"/>
      <c r="F67" s="8">
        <v>31.1363</v>
      </c>
      <c r="G67" s="8">
        <v>16.0</v>
      </c>
      <c r="H67" s="8">
        <v>141.0</v>
      </c>
      <c r="I67" s="11">
        <f t="shared" si="1"/>
        <v>0.2208248227</v>
      </c>
      <c r="J67" s="10">
        <f t="shared" si="2"/>
        <v>4.528476409</v>
      </c>
      <c r="K67" s="12">
        <f t="shared" si="3"/>
        <v>0.000004528476409</v>
      </c>
    </row>
    <row r="68">
      <c r="A68" s="7" t="s">
        <v>81</v>
      </c>
      <c r="B68" s="7" t="s">
        <v>12</v>
      </c>
      <c r="C68" s="9" t="str">
        <f>LEFT(R[0]C[-2],FIND(" ",R[0]C[-2]) - 1)</f>
        <v>#ERROR!</v>
      </c>
      <c r="D68" s="9">
        <v>42826.0</v>
      </c>
      <c r="E68" s="10"/>
      <c r="F68" s="8">
        <v>31.314</v>
      </c>
      <c r="G68" s="8">
        <v>8.0</v>
      </c>
      <c r="H68" s="8">
        <v>80.0</v>
      </c>
      <c r="I68" s="11">
        <f t="shared" si="1"/>
        <v>0.391425</v>
      </c>
      <c r="J68" s="10">
        <f t="shared" si="2"/>
        <v>2.554767835</v>
      </c>
      <c r="K68" s="12">
        <f t="shared" si="3"/>
        <v>0.000002554767835</v>
      </c>
    </row>
    <row r="69">
      <c r="A69" s="7" t="s">
        <v>82</v>
      </c>
      <c r="B69" s="7" t="s">
        <v>12</v>
      </c>
      <c r="C69" s="9" t="str">
        <f>LEFT(R[0]C[-2],FIND(" ",R[0]C[-2]) - 1)</f>
        <v>#ERROR!</v>
      </c>
      <c r="D69" s="9">
        <v>42826.0</v>
      </c>
      <c r="E69" s="10"/>
      <c r="F69" s="8">
        <v>32.74</v>
      </c>
      <c r="G69" s="8">
        <v>8.0</v>
      </c>
      <c r="H69" s="8">
        <v>84.0</v>
      </c>
      <c r="I69" s="11">
        <f t="shared" si="1"/>
        <v>0.3897619048</v>
      </c>
      <c r="J69" s="10">
        <f t="shared" si="2"/>
        <v>2.565668907</v>
      </c>
      <c r="K69" s="12">
        <f t="shared" si="3"/>
        <v>0.000002565668907</v>
      </c>
    </row>
    <row r="70">
      <c r="A70" s="7" t="s">
        <v>83</v>
      </c>
      <c r="B70" s="7" t="s">
        <v>12</v>
      </c>
      <c r="C70" s="9" t="str">
        <f>LEFT(R[0]C[-2],FIND(" ",R[0]C[-2]) - 1)</f>
        <v>#ERROR!</v>
      </c>
      <c r="D70" s="9">
        <v>42826.0</v>
      </c>
      <c r="E70" s="10"/>
      <c r="F70" s="8">
        <v>10.272</v>
      </c>
      <c r="G70" s="8">
        <v>4.0</v>
      </c>
      <c r="H70" s="8">
        <v>45.0</v>
      </c>
      <c r="I70" s="11">
        <f t="shared" si="1"/>
        <v>0.2282666667</v>
      </c>
      <c r="J70" s="10">
        <f t="shared" si="2"/>
        <v>4.380841121</v>
      </c>
      <c r="K70" s="12">
        <f t="shared" si="3"/>
        <v>0.000004380841121</v>
      </c>
    </row>
    <row r="71">
      <c r="A71" s="7" t="s">
        <v>84</v>
      </c>
      <c r="B71" s="7" t="s">
        <v>12</v>
      </c>
      <c r="C71" s="9" t="str">
        <f>LEFT(R[0]C[-2],FIND(" ",R[0]C[-2]) - 1)</f>
        <v>#ERROR!</v>
      </c>
      <c r="D71" s="9">
        <v>42826.0</v>
      </c>
      <c r="E71" s="10"/>
      <c r="F71" s="8">
        <v>11.967</v>
      </c>
      <c r="G71" s="8">
        <v>4.0</v>
      </c>
      <c r="H71" s="8">
        <v>70.0</v>
      </c>
      <c r="I71" s="11">
        <f t="shared" si="1"/>
        <v>0.1709571429</v>
      </c>
      <c r="J71" s="10">
        <f t="shared" si="2"/>
        <v>5.849419236</v>
      </c>
      <c r="K71" s="12">
        <f t="shared" si="3"/>
        <v>0.000005849419236</v>
      </c>
    </row>
    <row r="72">
      <c r="A72" s="7" t="s">
        <v>85</v>
      </c>
      <c r="B72" s="7" t="s">
        <v>12</v>
      </c>
      <c r="C72" s="9" t="str">
        <f>LEFT(R[0]C[-2],FIND(" ",R[0]C[-2]) - 1)</f>
        <v>#ERROR!</v>
      </c>
      <c r="D72" s="9">
        <v>42804.0</v>
      </c>
      <c r="E72" s="10"/>
      <c r="F72" s="8">
        <v>45.67582</v>
      </c>
      <c r="G72" s="8">
        <v>11.0</v>
      </c>
      <c r="H72" s="8">
        <v>210.0</v>
      </c>
      <c r="I72" s="11">
        <f t="shared" si="1"/>
        <v>0.2175039048</v>
      </c>
      <c r="J72" s="10">
        <f t="shared" si="2"/>
        <v>4.597618609</v>
      </c>
      <c r="K72" s="12">
        <f t="shared" si="3"/>
        <v>0.000004597618609</v>
      </c>
    </row>
    <row r="73">
      <c r="A73" s="7" t="s">
        <v>86</v>
      </c>
      <c r="B73" s="7" t="s">
        <v>12</v>
      </c>
      <c r="C73" s="9" t="str">
        <f>LEFT(R[0]C[-2],FIND(" ",R[0]C[-2]) - 1)</f>
        <v>#ERROR!</v>
      </c>
      <c r="D73" s="9">
        <v>42738.0</v>
      </c>
      <c r="E73" s="10"/>
      <c r="F73" s="8">
        <v>15.984</v>
      </c>
      <c r="G73" s="8">
        <v>4.0</v>
      </c>
      <c r="H73" s="8">
        <v>70.0</v>
      </c>
      <c r="I73" s="11">
        <f t="shared" si="1"/>
        <v>0.2283428571</v>
      </c>
      <c r="J73" s="10">
        <f t="shared" si="2"/>
        <v>4.379379379</v>
      </c>
      <c r="K73" s="12">
        <f t="shared" si="3"/>
        <v>0.000004379379379</v>
      </c>
    </row>
    <row r="74">
      <c r="A74" s="7" t="s">
        <v>87</v>
      </c>
      <c r="B74" s="7" t="s">
        <v>17</v>
      </c>
      <c r="C74" s="9" t="str">
        <f>LEFT(R[0]C[-2],FIND(" ",R[0]C[-2]) - 1)</f>
        <v>#ERROR!</v>
      </c>
      <c r="D74" s="9">
        <v>42644.0</v>
      </c>
      <c r="E74" s="10"/>
      <c r="F74" s="8">
        <v>40.0</v>
      </c>
      <c r="G74" s="8">
        <v>16.0</v>
      </c>
      <c r="H74" s="8">
        <v>150.0</v>
      </c>
      <c r="I74" s="11">
        <f t="shared" si="1"/>
        <v>0.2666666667</v>
      </c>
      <c r="J74" s="10">
        <f t="shared" si="2"/>
        <v>3.75</v>
      </c>
      <c r="K74" s="12">
        <f t="shared" si="3"/>
        <v>0.00000375</v>
      </c>
    </row>
    <row r="75">
      <c r="A75" s="7" t="s">
        <v>88</v>
      </c>
      <c r="B75" s="7" t="s">
        <v>17</v>
      </c>
      <c r="C75" s="9" t="str">
        <f>LEFT(R[0]C[-2],FIND(" ",R[0]C[-2]) - 1)</f>
        <v>#ERROR!</v>
      </c>
      <c r="D75" s="9">
        <v>42626.0</v>
      </c>
      <c r="E75" s="10"/>
      <c r="F75" s="8">
        <v>35.0</v>
      </c>
      <c r="G75" s="8">
        <v>24.0</v>
      </c>
      <c r="H75" s="8">
        <v>160.0</v>
      </c>
      <c r="I75" s="11">
        <f t="shared" si="1"/>
        <v>0.21875</v>
      </c>
      <c r="J75" s="10">
        <f t="shared" si="2"/>
        <v>4.571428571</v>
      </c>
      <c r="K75" s="12">
        <f t="shared" si="3"/>
        <v>0.000004571428571</v>
      </c>
    </row>
    <row r="76">
      <c r="A76" s="7" t="s">
        <v>89</v>
      </c>
      <c r="B76" s="7" t="s">
        <v>12</v>
      </c>
      <c r="C76" s="9" t="str">
        <f>LEFT(R[0]C[-2],FIND(" ",R[0]C[-2]) - 1)</f>
        <v>#ERROR!</v>
      </c>
      <c r="D76" s="9">
        <v>42590.0</v>
      </c>
      <c r="E76" s="10"/>
      <c r="F76" s="8">
        <v>13.12675</v>
      </c>
      <c r="G76" s="8">
        <v>2.0</v>
      </c>
      <c r="H76" s="8">
        <v>42.0</v>
      </c>
      <c r="I76" s="11">
        <f t="shared" si="1"/>
        <v>0.3125416667</v>
      </c>
      <c r="J76" s="10">
        <f t="shared" si="2"/>
        <v>3.19957339</v>
      </c>
      <c r="K76" s="12">
        <f t="shared" si="3"/>
        <v>0.00000319957339</v>
      </c>
    </row>
    <row r="77">
      <c r="A77" s="7" t="s">
        <v>90</v>
      </c>
      <c r="B77" s="7" t="s">
        <v>12</v>
      </c>
      <c r="C77" s="9" t="str">
        <f>LEFT(R[0]C[-2],FIND(" ",R[0]C[-2]) - 1)</f>
        <v>#ERROR!</v>
      </c>
      <c r="D77" s="9">
        <v>42586.0</v>
      </c>
      <c r="E77" s="10"/>
      <c r="F77" s="8">
        <v>31.5678</v>
      </c>
      <c r="G77" s="8">
        <v>8.0</v>
      </c>
      <c r="H77" s="8">
        <v>70.0</v>
      </c>
      <c r="I77" s="11">
        <f t="shared" si="1"/>
        <v>0.4509685714</v>
      </c>
      <c r="J77" s="10">
        <f t="shared" si="2"/>
        <v>2.217449426</v>
      </c>
      <c r="K77" s="12">
        <f t="shared" si="3"/>
        <v>0.000002217449426</v>
      </c>
    </row>
    <row r="78">
      <c r="A78" s="7" t="s">
        <v>91</v>
      </c>
      <c r="B78" s="7" t="s">
        <v>12</v>
      </c>
      <c r="C78" s="9" t="str">
        <f>LEFT(R[0]C[-2],FIND(" ",R[0]C[-2]) - 1)</f>
        <v>#ERROR!</v>
      </c>
      <c r="D78" s="9">
        <v>42570.0</v>
      </c>
      <c r="E78" s="10"/>
      <c r="F78" s="8">
        <v>19.9714</v>
      </c>
      <c r="G78" s="8">
        <v>6.0</v>
      </c>
      <c r="H78" s="8">
        <v>104.0</v>
      </c>
      <c r="I78" s="11">
        <f t="shared" si="1"/>
        <v>0.1920326923</v>
      </c>
      <c r="J78" s="10">
        <f t="shared" si="2"/>
        <v>5.207446649</v>
      </c>
      <c r="K78" s="12">
        <f t="shared" si="3"/>
        <v>0.000005207446649</v>
      </c>
    </row>
    <row r="79">
      <c r="A79" s="7" t="s">
        <v>92</v>
      </c>
      <c r="B79" s="7" t="s">
        <v>12</v>
      </c>
      <c r="C79" s="9" t="str">
        <f>LEFT(R[0]C[-2],FIND(" ",R[0]C[-2]) - 1)</f>
        <v>#ERROR!</v>
      </c>
      <c r="D79" s="9">
        <v>42550.0</v>
      </c>
      <c r="E79" s="10"/>
      <c r="F79" s="8">
        <v>25.0</v>
      </c>
      <c r="G79" s="8">
        <v>4.0</v>
      </c>
      <c r="H79" s="8">
        <v>65.0</v>
      </c>
      <c r="I79" s="11">
        <f t="shared" si="1"/>
        <v>0.3846153846</v>
      </c>
      <c r="J79" s="10">
        <f t="shared" si="2"/>
        <v>2.6</v>
      </c>
      <c r="K79" s="12">
        <f t="shared" si="3"/>
        <v>0.0000026</v>
      </c>
    </row>
    <row r="80">
      <c r="A80" s="7" t="s">
        <v>93</v>
      </c>
      <c r="B80" s="7" t="s">
        <v>12</v>
      </c>
      <c r="C80" s="9" t="str">
        <f>LEFT(R[0]C[-2],FIND(" ",R[0]C[-2]) - 1)</f>
        <v>#ERROR!</v>
      </c>
      <c r="D80" s="9">
        <v>42541.0</v>
      </c>
      <c r="E80" s="10"/>
      <c r="F80" s="8">
        <v>44.84675</v>
      </c>
      <c r="G80" s="8">
        <v>16.0</v>
      </c>
      <c r="H80" s="8">
        <v>138.0</v>
      </c>
      <c r="I80" s="11">
        <f t="shared" si="1"/>
        <v>0.3249764493</v>
      </c>
      <c r="J80" s="10">
        <f t="shared" si="2"/>
        <v>3.077146059</v>
      </c>
      <c r="K80" s="12">
        <f t="shared" si="3"/>
        <v>0.000003077146059</v>
      </c>
    </row>
    <row r="81">
      <c r="A81" s="7" t="s">
        <v>94</v>
      </c>
      <c r="B81" s="7" t="s">
        <v>12</v>
      </c>
      <c r="C81" s="9" t="str">
        <f>LEFT(R[0]C[-2],FIND(" ",R[0]C[-2]) - 1)</f>
        <v>#ERROR!</v>
      </c>
      <c r="D81" s="9">
        <v>42531.0</v>
      </c>
      <c r="E81" s="10"/>
      <c r="F81" s="8">
        <v>25.911</v>
      </c>
      <c r="G81" s="8">
        <v>8.0</v>
      </c>
      <c r="H81" s="8">
        <v>133.0</v>
      </c>
      <c r="I81" s="11">
        <f t="shared" si="1"/>
        <v>0.1948195489</v>
      </c>
      <c r="J81" s="10">
        <f t="shared" si="2"/>
        <v>5.132955116</v>
      </c>
      <c r="K81" s="12">
        <f t="shared" si="3"/>
        <v>0.000005132955116</v>
      </c>
    </row>
    <row r="82">
      <c r="A82" s="7" t="s">
        <v>95</v>
      </c>
      <c r="B82" s="7" t="s">
        <v>12</v>
      </c>
      <c r="C82" s="9" t="str">
        <f>LEFT(R[0]C[-2],FIND(" ",R[0]C[-2]) - 1)</f>
        <v>#ERROR!</v>
      </c>
      <c r="D82" s="9">
        <v>42517.0</v>
      </c>
      <c r="E82" s="10"/>
      <c r="F82" s="8">
        <v>35.158</v>
      </c>
      <c r="G82" s="8">
        <v>8.0</v>
      </c>
      <c r="H82" s="8">
        <v>160.0</v>
      </c>
      <c r="I82" s="11">
        <f t="shared" si="1"/>
        <v>0.2197375</v>
      </c>
      <c r="J82" s="10">
        <f t="shared" si="2"/>
        <v>4.550884578</v>
      </c>
      <c r="K82" s="12">
        <f t="shared" si="3"/>
        <v>0.000004550884578</v>
      </c>
    </row>
    <row r="83">
      <c r="A83" s="7" t="s">
        <v>96</v>
      </c>
      <c r="B83" s="7" t="s">
        <v>17</v>
      </c>
      <c r="C83" s="9" t="str">
        <f>LEFT(R[0]C[-2],FIND(" ",R[0]C[-2]) - 1)</f>
        <v>#ERROR!</v>
      </c>
      <c r="D83" s="9">
        <v>42309.0</v>
      </c>
      <c r="E83" s="10"/>
      <c r="F83" s="8">
        <v>22.0</v>
      </c>
      <c r="G83" s="8">
        <v>4.0</v>
      </c>
      <c r="H83" s="8">
        <v>250.0</v>
      </c>
      <c r="I83" s="11">
        <v>0.088</v>
      </c>
      <c r="J83" s="10">
        <f t="shared" si="2"/>
        <v>11.36363636</v>
      </c>
      <c r="K83" s="12">
        <f t="shared" si="3"/>
        <v>0.00001136363636</v>
      </c>
    </row>
    <row r="84">
      <c r="A84" s="7" t="s">
        <v>97</v>
      </c>
      <c r="B84" s="7" t="s">
        <v>17</v>
      </c>
      <c r="C84" s="9" t="str">
        <f>LEFT(R[0]C[-2],FIND(" ",R[0]C[-2]) - 1)</f>
        <v>#ERROR!</v>
      </c>
      <c r="D84" s="9">
        <v>42173.0</v>
      </c>
      <c r="E84" s="10"/>
      <c r="F84" s="8">
        <v>20.0</v>
      </c>
      <c r="G84" s="8">
        <v>2.0</v>
      </c>
      <c r="H84" s="8">
        <v>170.0</v>
      </c>
      <c r="I84" s="11">
        <f t="shared" ref="I84:I91" si="4">F84/H84</f>
        <v>0.1176470588</v>
      </c>
      <c r="J84" s="10">
        <f t="shared" si="2"/>
        <v>8.5</v>
      </c>
      <c r="K84" s="12">
        <f t="shared" si="3"/>
        <v>0.0000085</v>
      </c>
    </row>
    <row r="85">
      <c r="A85" s="7" t="s">
        <v>98</v>
      </c>
      <c r="B85" s="7" t="s">
        <v>17</v>
      </c>
      <c r="C85" s="9" t="str">
        <f>LEFT(R[0]C[-2],FIND(" ",R[0]C[-2]) - 1)</f>
        <v>#ERROR!</v>
      </c>
      <c r="D85" s="9">
        <v>42173.0</v>
      </c>
      <c r="E85" s="10"/>
      <c r="F85" s="8">
        <v>18.0</v>
      </c>
      <c r="G85" s="8">
        <v>8.0</v>
      </c>
      <c r="H85" s="8">
        <v>300.0</v>
      </c>
      <c r="I85" s="11">
        <f t="shared" si="4"/>
        <v>0.06</v>
      </c>
      <c r="J85" s="10">
        <f t="shared" si="2"/>
        <v>16.66666667</v>
      </c>
      <c r="K85" s="12">
        <f t="shared" si="3"/>
        <v>0.00001666666667</v>
      </c>
    </row>
    <row r="86">
      <c r="A86" s="7" t="s">
        <v>99</v>
      </c>
      <c r="B86" s="7" t="s">
        <v>17</v>
      </c>
      <c r="C86" s="9" t="str">
        <f>LEFT(R[0]C[-2],FIND(" ",R[0]C[-2]) - 1)</f>
        <v>#ERROR!</v>
      </c>
      <c r="D86" s="9">
        <v>42157.0</v>
      </c>
      <c r="E86" s="10"/>
      <c r="F86" s="8">
        <v>21.5</v>
      </c>
      <c r="G86" s="8">
        <v>6.0</v>
      </c>
      <c r="H86" s="8">
        <v>250.0</v>
      </c>
      <c r="I86" s="11">
        <f t="shared" si="4"/>
        <v>0.086</v>
      </c>
      <c r="J86" s="10">
        <f t="shared" si="2"/>
        <v>11.62790698</v>
      </c>
      <c r="K86" s="12">
        <f t="shared" si="3"/>
        <v>0.00001162790698</v>
      </c>
    </row>
    <row r="87">
      <c r="A87" s="7" t="s">
        <v>100</v>
      </c>
      <c r="B87" s="7" t="s">
        <v>12</v>
      </c>
      <c r="C87" s="9" t="str">
        <f>LEFT(R[0]C[-2],FIND(" ",R[0]C[-2]) - 1)</f>
        <v>#ERROR!</v>
      </c>
      <c r="D87" s="9">
        <v>42080.0</v>
      </c>
      <c r="E87" s="10"/>
      <c r="F87" s="8">
        <v>49.023</v>
      </c>
      <c r="G87" s="8">
        <v>12.0</v>
      </c>
      <c r="H87" s="8">
        <v>240.0</v>
      </c>
      <c r="I87" s="11">
        <f t="shared" si="4"/>
        <v>0.2042625</v>
      </c>
      <c r="J87" s="10">
        <f t="shared" si="2"/>
        <v>4.89566122</v>
      </c>
      <c r="K87" s="12">
        <f t="shared" si="3"/>
        <v>0.00000489566122</v>
      </c>
    </row>
    <row r="88">
      <c r="A88" s="7" t="s">
        <v>101</v>
      </c>
      <c r="B88" s="7" t="s">
        <v>17</v>
      </c>
      <c r="C88" s="9" t="str">
        <f>LEFT(R[0]C[-2],FIND(" ",R[0]C[-2]) - 1)</f>
        <v>#ERROR!</v>
      </c>
      <c r="D88" s="9">
        <v>42080.0</v>
      </c>
      <c r="E88" s="10"/>
      <c r="F88" s="8">
        <v>32.28</v>
      </c>
      <c r="G88" s="8">
        <v>12.0</v>
      </c>
      <c r="H88" s="8">
        <v>230.0</v>
      </c>
      <c r="I88" s="11">
        <f t="shared" si="4"/>
        <v>0.1403478261</v>
      </c>
      <c r="J88" s="10">
        <f t="shared" si="2"/>
        <v>7.125154895</v>
      </c>
      <c r="K88" s="12">
        <f t="shared" si="3"/>
        <v>0.000007125154895</v>
      </c>
    </row>
    <row r="89">
      <c r="A89" s="7" t="s">
        <v>102</v>
      </c>
      <c r="B89" s="7" t="s">
        <v>17</v>
      </c>
      <c r="C89" s="9" t="str">
        <f>LEFT(R[0]C[-2],FIND(" ",R[0]C[-2]) - 1)</f>
        <v>#ERROR!</v>
      </c>
      <c r="D89" s="9">
        <v>42026.0</v>
      </c>
      <c r="E89" s="10"/>
      <c r="F89" s="8">
        <v>1.63</v>
      </c>
      <c r="G89" s="8">
        <v>2.0</v>
      </c>
      <c r="H89" s="8">
        <v>100.0</v>
      </c>
      <c r="I89" s="11">
        <f t="shared" si="4"/>
        <v>0.0163</v>
      </c>
      <c r="J89" s="10">
        <f t="shared" si="2"/>
        <v>61.34969325</v>
      </c>
      <c r="K89" s="12">
        <f t="shared" si="3"/>
        <v>0.00006134969325</v>
      </c>
    </row>
    <row r="90">
      <c r="A90" s="7" t="s">
        <v>103</v>
      </c>
      <c r="B90" s="7" t="s">
        <v>17</v>
      </c>
      <c r="C90" s="9" t="str">
        <f>LEFT(R[0]C[-2],FIND(" ",R[0]C[-2]) - 1)</f>
        <v>#ERROR!</v>
      </c>
      <c r="D90" s="9">
        <v>41901.0</v>
      </c>
      <c r="E90" s="10"/>
      <c r="F90" s="8">
        <v>31.25</v>
      </c>
      <c r="G90" s="8">
        <v>4.0</v>
      </c>
      <c r="H90" s="8">
        <v>150.0</v>
      </c>
      <c r="I90" s="11">
        <f t="shared" si="4"/>
        <v>0.2083333333</v>
      </c>
      <c r="J90" s="10">
        <f t="shared" si="2"/>
        <v>4.8</v>
      </c>
      <c r="K90" s="12">
        <f t="shared" si="3"/>
        <v>0.0000048</v>
      </c>
    </row>
    <row r="91">
      <c r="A91" s="7" t="s">
        <v>104</v>
      </c>
      <c r="B91" s="7" t="s">
        <v>17</v>
      </c>
      <c r="C91" s="9" t="str">
        <f>LEFT(R[0]C[-2],FIND(" ",R[0]C[-2]) - 1)</f>
        <v>#ERROR!</v>
      </c>
      <c r="D91" s="9">
        <v>41901.0</v>
      </c>
      <c r="E91" s="10"/>
      <c r="F91" s="8">
        <v>1.88</v>
      </c>
      <c r="G91" s="8">
        <v>4.0</v>
      </c>
      <c r="H91" s="8">
        <v>220.0</v>
      </c>
      <c r="I91" s="11">
        <f t="shared" si="4"/>
        <v>0.008545454545</v>
      </c>
      <c r="J91" s="10">
        <f t="shared" si="2"/>
        <v>117.0212766</v>
      </c>
      <c r="K91" s="12">
        <f t="shared" si="3"/>
        <v>0.0001170212766</v>
      </c>
    </row>
  </sheetData>
  <drawing r:id="rId1"/>
</worksheet>
</file>